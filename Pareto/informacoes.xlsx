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rmática 2018\GitHub\ProjetoPratica2\Pareto\"/>
    </mc:Choice>
  </mc:AlternateContent>
  <xr:revisionPtr revIDLastSave="0" documentId="13_ncr:1_{95639A30-5850-40D8-AC22-840D202A0F4B}" xr6:coauthVersionLast="36" xr6:coauthVersionMax="36" xr10:uidLastSave="{00000000-0000-0000-0000-000000000000}"/>
  <bookViews>
    <workbookView xWindow="0" yWindow="0" windowWidth="20490" windowHeight="7545" xr2:uid="{D261AB98-28CC-49B7-937D-4C0614076CDF}"/>
  </bookViews>
  <sheets>
    <sheet name="Planilha1" sheetId="1" r:id="rId1"/>
  </sheets>
  <definedNames>
    <definedName name="_xlnm._FilterDatabase" localSheetId="0">Planilha1!$A$1:$D$10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" l="1"/>
  <c r="D6" i="1"/>
  <c r="D7" i="1"/>
  <c r="D8" i="1"/>
  <c r="D9" i="1"/>
  <c r="B10" i="1" l="1"/>
  <c r="D2" i="1" s="1"/>
  <c r="C2" i="1" s="1"/>
  <c r="C3" i="1" s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<sst xmlns="http://schemas.openxmlformats.org/spreadsheetml/2006/main" count="12" uniqueCount="12">
  <si>
    <t>dificulade de acesso</t>
  </si>
  <si>
    <t>problemas de dimensionamento</t>
  </si>
  <si>
    <t>problemas de conexao com banco</t>
  </si>
  <si>
    <t>ma qualidade do design</t>
  </si>
  <si>
    <t>metodos ineficientes</t>
  </si>
  <si>
    <t>progresso lento</t>
  </si>
  <si>
    <t>erros de atencao</t>
  </si>
  <si>
    <t>pouca pratica no uso das IDEs</t>
  </si>
  <si>
    <t>Problemas</t>
  </si>
  <si>
    <t>total</t>
  </si>
  <si>
    <t>%</t>
  </si>
  <si>
    <t>%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</si>
</sst>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Dificuldades do projeto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Planilha1!$A$2:$A$9</c:f>
              <c:strCache>
                <c:ptCount val="8"/>
                <c:pt idx="0">
                  <c:v>dificulade de acesso</c:v>
                </c:pt>
                <c:pt idx="1">
                  <c:v>erros de atencao</c:v>
                </c:pt>
                <c:pt idx="2">
                  <c:v>ma qualidade do design</c:v>
                </c:pt>
                <c:pt idx="3">
                  <c:v>metodos ineficientes</c:v>
                </c:pt>
                <c:pt idx="4">
                  <c:v>pouca pratica no uso das IDEs</c:v>
                </c:pt>
                <c:pt idx="5">
                  <c:v>problemas de conexao com banco</c:v>
                </c:pt>
                <c:pt idx="6">
                  <c:v>problemas de dimensionamento</c:v>
                </c:pt>
                <c:pt idx="7">
                  <c:v>progresso lento</c:v>
                </c:pt>
              </c:strCache>
            </c:strRef>
          </c:cat>
          <c:val>
            <c:numRef>
              <c:f>Planilha1!$B$2:$B$9</c:f>
              <c:numCache>
                <c:formatCode>General</c:formatCode>
                <c:ptCount val="8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E-454B-BD88-3A8346C32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470800"/>
        <c:axId val="447471128"/>
      </c:barChart>
      <c:lineChart>
        <c:grouping val="standard"/>
        <c:varyColors val="0"/>
        <c:ser>
          <c:idx val="1"/>
          <c:order val="1"/>
          <c:tx>
            <c:strRef>
              <c:f>Planilha1!$C$1</c:f>
              <c:strCache>
                <c:ptCount val="1"/>
                <c:pt idx="0">
                  <c:v>%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Planilha1!$A$2:$A$9</c:f>
              <c:strCache>
                <c:ptCount val="8"/>
                <c:pt idx="0">
                  <c:v>dificulade de acesso</c:v>
                </c:pt>
                <c:pt idx="1">
                  <c:v>erros de atencao</c:v>
                </c:pt>
                <c:pt idx="2">
                  <c:v>ma qualidade do design</c:v>
                </c:pt>
                <c:pt idx="3">
                  <c:v>metodos ineficientes</c:v>
                </c:pt>
                <c:pt idx="4">
                  <c:v>pouca pratica no uso das IDEs</c:v>
                </c:pt>
                <c:pt idx="5">
                  <c:v>problemas de conexao com banco</c:v>
                </c:pt>
                <c:pt idx="6">
                  <c:v>problemas de dimensionamento</c:v>
                </c:pt>
                <c:pt idx="7">
                  <c:v>progresso lento</c:v>
                </c:pt>
              </c:strCache>
            </c:strRef>
          </c:cat>
          <c:val>
            <c:numRef>
              <c:f>Planilha1!$C$2:$C$9</c:f>
              <c:numCache>
                <c:formatCode>0%</c:formatCode>
                <c:ptCount val="8"/>
                <c:pt idx="0">
                  <c:v>6.25E-2</c:v>
                </c:pt>
                <c:pt idx="1">
                  <c:v>0.28125</c:v>
                </c:pt>
                <c:pt idx="2">
                  <c:v>0.34125</c:v>
                </c:pt>
                <c:pt idx="3">
                  <c:v>0.40125</c:v>
                </c:pt>
                <c:pt idx="4">
                  <c:v>0.495</c:v>
                </c:pt>
                <c:pt idx="5">
                  <c:v>0.5575</c:v>
                </c:pt>
                <c:pt idx="6">
                  <c:v>0.83875</c:v>
                </c:pt>
                <c:pt idx="7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AE-454B-BD88-3A8346C32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258288"/>
        <c:axId val="453255992"/>
      </c:lineChart>
      <c:catAx>
        <c:axId val="4474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471128"/>
        <c:crosses val="autoZero"/>
        <c:auto val="1"/>
        <c:lblAlgn val="ctr"/>
        <c:lblOffset val="100"/>
        <c:noMultiLvlLbl val="0"/>
      </c:catAx>
      <c:valAx>
        <c:axId val="447471128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470800"/>
        <c:crosses val="autoZero"/>
        <c:crossBetween val="between"/>
      </c:valAx>
      <c:valAx>
        <c:axId val="453255992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58288"/>
        <c:crosses val="max"/>
        <c:crossBetween val="between"/>
      </c:valAx>
      <c:catAx>
        <c:axId val="453258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32559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4</xdr:row>
      <xdr:rowOff>14287</xdr:rowOff>
    </xdr:from>
    <xdr:to>
      <xdr:col>18</xdr:col>
      <xdr:colOff>104775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CB9746-001F-4D0A-BBDF-7D931E303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BDF2-501E-4E64-856A-98B922D37408}">
  <dimension ref="A1:D10"/>
  <sheetViews>
    <sheetView tabSelected="1" topLeftCell="D4" workbookViewId="0">
      <selection activeCell="M21" sqref="M21"/>
    </sheetView>
  </sheetViews>
  <sheetFormatPr defaultRowHeight="15" x14ac:dyDescent="0.25"/>
  <cols>
    <col min="1" max="1" width="30.5703125" bestFit="1" customWidth="1"/>
    <col min="3" max="3" width="14.85546875" bestFit="1" customWidth="1"/>
  </cols>
  <sheetData>
    <row r="1" spans="1:4" x14ac:dyDescent="0.25">
      <c r="A1" s="2" t="s">
        <v>8</v>
      </c>
      <c r="B1" s="2" t="s">
        <v>9</v>
      </c>
      <c r="C1" s="2" t="s">
        <v>11</v>
      </c>
      <c r="D1" s="2" t="s">
        <v>10</v>
      </c>
    </row>
    <row r="2" spans="1:4" x14ac:dyDescent="0.25">
      <c r="A2" t="s">
        <v>0</v>
      </c>
      <c r="B2">
        <v>2</v>
      </c>
      <c r="C2" s="1">
        <f>D2</f>
        <v>6.25E-2</v>
      </c>
      <c r="D2" s="1">
        <f>B2/B$10</f>
        <v>6.25E-2</v>
      </c>
    </row>
    <row r="3" spans="1:4" x14ac:dyDescent="0.25">
      <c r="A3" t="s">
        <v>6</v>
      </c>
      <c r="B3">
        <v>7</v>
      </c>
      <c r="C3" s="1">
        <f>D3+C2</f>
        <v>0.28125</v>
      </c>
      <c r="D3" s="1">
        <f>7/32</f>
        <v>0.21875</v>
      </c>
    </row>
    <row r="4" spans="1:4" x14ac:dyDescent="0.25">
      <c r="A4" t="s">
        <v>3</v>
      </c>
      <c r="B4">
        <v>2</v>
      </c>
      <c r="C4" s="1">
        <f>D4+C3</f>
        <v>0.34125</v>
      </c>
      <c r="D4" s="1">
        <v>0.06</v>
      </c>
    </row>
    <row r="5" spans="1:4" x14ac:dyDescent="0.25">
      <c r="A5" t="s">
        <v>4</v>
      </c>
      <c r="B5">
        <v>2</v>
      </c>
      <c r="C5" s="1">
        <f>D5+C4</f>
        <v>0.40125</v>
      </c>
      <c r="D5" s="1">
        <v>0.06</v>
      </c>
    </row>
    <row r="6" spans="1:4" x14ac:dyDescent="0.25">
      <c r="A6" t="s">
        <v>7</v>
      </c>
      <c r="B6">
        <v>3</v>
      </c>
      <c r="C6" s="1">
        <f>D6+C5</f>
        <v>0.495</v>
      </c>
      <c r="D6" s="1">
        <f>3/32</f>
        <v>9.375E-2</v>
      </c>
    </row>
    <row r="7" spans="1:4" x14ac:dyDescent="0.25">
      <c r="A7" t="s">
        <v>2</v>
      </c>
      <c r="B7">
        <v>2</v>
      </c>
      <c r="C7" s="1">
        <f>D7+C6</f>
        <v>0.5575</v>
      </c>
      <c r="D7" s="1">
        <f>2/32</f>
        <v>6.25E-2</v>
      </c>
    </row>
    <row r="8" spans="1:4" x14ac:dyDescent="0.25">
      <c r="A8" t="s">
        <v>1</v>
      </c>
      <c r="B8">
        <v>9</v>
      </c>
      <c r="C8" s="1">
        <f>D8+C7</f>
        <v>0.83875</v>
      </c>
      <c r="D8" s="1">
        <f>9/32</f>
        <v>0.28125</v>
      </c>
    </row>
    <row r="9" spans="1:4" x14ac:dyDescent="0.25">
      <c r="A9" t="s">
        <v>5</v>
      </c>
      <c r="B9">
        <v>5</v>
      </c>
      <c r="C9" s="1">
        <f>D9+C8</f>
        <v>0.995</v>
      </c>
      <c r="D9" s="1">
        <f>5/32</f>
        <v>0.15625</v>
      </c>
    </row>
    <row r="10" spans="1:4" x14ac:dyDescent="0.25">
      <c r="B10">
        <f>SUM(B2:B9)</f>
        <v>32</v>
      </c>
      <c r="C10" s="1"/>
      <c r="D10" s="1"/>
    </row>
  </sheetData>
  <autoFilter ref="A1:D10" xr:uid="{3172D901-D060-41E1-AD86-774A3EAB83D7}">
    <sortState ref="A2:D10">
      <sortCondition ref="A1:A10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elaoliv</dc:creator>
  <cp:lastModifiedBy>elaoliv</cp:lastModifiedBy>
  <dcterms:created xsi:type="dcterms:W3CDTF">2019-05-06T13:50:52Z</dcterms:created>
  <dcterms:modified xsi:type="dcterms:W3CDTF">2019-05-06T15:08:35Z</dcterms:modified>
</cp:coreProperties>
</file>